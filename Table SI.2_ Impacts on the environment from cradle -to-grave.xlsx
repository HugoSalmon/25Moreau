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-Nuage\T3S_Biophysics-NEW\Solène\Article recherche 1\2505_Article_Labchip\SI\"/>
    </mc:Choice>
  </mc:AlternateContent>
  <xr:revisionPtr revIDLastSave="0" documentId="13_ncr:1_{D08708BA-69A7-4FF1-9861-33DF80CBE700}" xr6:coauthVersionLast="36" xr6:coauthVersionMax="47" xr10:uidLastSave="{00000000-0000-0000-0000-000000000000}"/>
  <bookViews>
    <workbookView xWindow="0" yWindow="0" windowWidth="16200" windowHeight="24825" xr2:uid="{00000000-000D-0000-FFFF-FFFF00000000}"/>
  </bookViews>
  <sheets>
    <sheet name="Direct impact contributions" sheetId="5" r:id="rId1"/>
  </sheets>
  <calcPr calcId="191029" iterateDelta="1E-4"/>
</workbook>
</file>

<file path=xl/calcChain.xml><?xml version="1.0" encoding="utf-8"?>
<calcChain xmlns="http://schemas.openxmlformats.org/spreadsheetml/2006/main">
  <c r="J30" i="5" l="1"/>
  <c r="J31" i="5" l="1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29" i="5"/>
  <c r="G29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6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G27" i="5"/>
  <c r="F27" i="5"/>
  <c r="E27" i="5"/>
  <c r="O7" i="5" l="1"/>
  <c r="G30" i="5" s="1"/>
  <c r="O8" i="5"/>
  <c r="G31" i="5" s="1"/>
  <c r="O9" i="5"/>
  <c r="G32" i="5" s="1"/>
  <c r="O10" i="5"/>
  <c r="G33" i="5" s="1"/>
  <c r="O11" i="5"/>
  <c r="G34" i="5" s="1"/>
  <c r="O12" i="5"/>
  <c r="G35" i="5" s="1"/>
  <c r="O13" i="5"/>
  <c r="G36" i="5" s="1"/>
  <c r="O14" i="5"/>
  <c r="G37" i="5" s="1"/>
  <c r="O15" i="5"/>
  <c r="G38" i="5" s="1"/>
  <c r="O16" i="5"/>
  <c r="G39" i="5" s="1"/>
  <c r="O17" i="5"/>
  <c r="G40" i="5" s="1"/>
  <c r="O18" i="5"/>
  <c r="G41" i="5" s="1"/>
  <c r="O19" i="5"/>
  <c r="G42" i="5" s="1"/>
  <c r="O20" i="5"/>
  <c r="G43" i="5" s="1"/>
  <c r="O21" i="5"/>
  <c r="G44" i="5" s="1"/>
  <c r="O22" i="5"/>
  <c r="G45" i="5" s="1"/>
  <c r="O23" i="5"/>
  <c r="G46" i="5" s="1"/>
  <c r="O6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Q16" i="5" l="1"/>
  <c r="F39" i="5"/>
  <c r="R16" i="5"/>
  <c r="F36" i="5"/>
  <c r="R13" i="5"/>
  <c r="Q13" i="5"/>
  <c r="Q9" i="5"/>
  <c r="R9" i="5"/>
  <c r="F32" i="5"/>
  <c r="R8" i="5"/>
  <c r="Q8" i="5"/>
  <c r="F31" i="5"/>
  <c r="R7" i="5"/>
  <c r="Q7" i="5"/>
  <c r="F30" i="5"/>
  <c r="F40" i="5"/>
  <c r="Q17" i="5"/>
  <c r="R17" i="5"/>
  <c r="Q23" i="5"/>
  <c r="R23" i="5"/>
  <c r="F46" i="5"/>
  <c r="Q22" i="5"/>
  <c r="R22" i="5"/>
  <c r="F45" i="5"/>
  <c r="R20" i="5"/>
  <c r="Q20" i="5"/>
  <c r="F43" i="5"/>
  <c r="R19" i="5"/>
  <c r="F42" i="5"/>
  <c r="Q19" i="5"/>
  <c r="R18" i="5"/>
  <c r="F41" i="5"/>
  <c r="Q18" i="5"/>
  <c r="R6" i="5"/>
  <c r="Q6" i="5"/>
  <c r="F29" i="5"/>
  <c r="F38" i="5"/>
  <c r="Q15" i="5"/>
  <c r="R15" i="5"/>
  <c r="R14" i="5"/>
  <c r="Q14" i="5"/>
  <c r="F37" i="5"/>
  <c r="Q12" i="5"/>
  <c r="R12" i="5"/>
  <c r="F35" i="5"/>
  <c r="Q11" i="5"/>
  <c r="F34" i="5"/>
  <c r="R11" i="5"/>
  <c r="R21" i="5"/>
  <c r="Q21" i="5"/>
  <c r="F44" i="5"/>
  <c r="F33" i="5"/>
  <c r="Q10" i="5"/>
  <c r="R10" i="5"/>
</calcChain>
</file>

<file path=xl/sharedStrings.xml><?xml version="1.0" encoding="utf-8"?>
<sst xmlns="http://schemas.openxmlformats.org/spreadsheetml/2006/main" count="148" uniqueCount="98">
  <si>
    <t>polystyrene production, general purpose | polystyrene, general purpose | APOS, S</t>
  </si>
  <si>
    <t>Amount:</t>
  </si>
  <si>
    <t>1.0 kg</t>
  </si>
  <si>
    <t>Impact method:</t>
  </si>
  <si>
    <t>ReCiPe 2016 Midpoint (H)</t>
  </si>
  <si>
    <t>m3</t>
  </si>
  <si>
    <t>Impact category UUID</t>
  </si>
  <si>
    <t>Impact category</t>
  </si>
  <si>
    <t>Reference unit</t>
  </si>
  <si>
    <t>b4315ae1-5cb2-3f70-ad17-1a35a58823ef</t>
  </si>
  <si>
    <t>Fine particulate matter formation</t>
  </si>
  <si>
    <t>kg PM2.5 eq</t>
  </si>
  <si>
    <t>80e0b1a4-16b9-3aeb-9136-e544aca7a1e3</t>
  </si>
  <si>
    <t>Fossil resource scarcity</t>
  </si>
  <si>
    <t>kg oil eq</t>
  </si>
  <si>
    <t>d7bce000-07a4-37d7-9cb6-0d11062b6baa</t>
  </si>
  <si>
    <t>Freshwater ecotoxicity</t>
  </si>
  <si>
    <t>kg 1,4-DCB</t>
  </si>
  <si>
    <t>7f771819-2b75-30a4-b1d2-9a5846590d6d</t>
  </si>
  <si>
    <t>Freshwater eutrophication</t>
  </si>
  <si>
    <t>kg P eq</t>
  </si>
  <si>
    <t>b39a745e-4f3d-35b0-9797-10ebc40b24ad</t>
  </si>
  <si>
    <t>Global warming</t>
  </si>
  <si>
    <t>kg CO2 eq</t>
  </si>
  <si>
    <t>2d8e76c1-c7a5-3289-9657-0256edbeea41</t>
  </si>
  <si>
    <t>Human carcinogenic toxicity</t>
  </si>
  <si>
    <t>e84559f5-8f11-36cb-b978-a41f0ef9780c</t>
  </si>
  <si>
    <t>Human non-carcinogenic toxicity</t>
  </si>
  <si>
    <t>09a73c78-b3ba-3369-81ba-cf1bb9f0f54d</t>
  </si>
  <si>
    <t>Ionizing radiation</t>
  </si>
  <si>
    <t>kBq Co-60 eq</t>
  </si>
  <si>
    <t>f7c097c5-71c7-322c-a610-5dee0a39fd6b</t>
  </si>
  <si>
    <t>Land use</t>
  </si>
  <si>
    <t>m2a crop eq</t>
  </si>
  <si>
    <t>d9ff50c2-00ab-3901-8970-569f9b7c8041</t>
  </si>
  <si>
    <t>Marine ecotoxicity</t>
  </si>
  <si>
    <t>5e7d91a6-531c-3132-98ba-41b48d6e96f3</t>
  </si>
  <si>
    <t>Marine eutrophication</t>
  </si>
  <si>
    <t>kg N eq</t>
  </si>
  <si>
    <t>f9e7dd9d-f3a3-318e-b458-6452fbdcbd8f</t>
  </si>
  <si>
    <t>Mineral resource scarcity</t>
  </si>
  <si>
    <t>kg Cu eq</t>
  </si>
  <si>
    <t>23d3e9af-9a16-31f1-a58d-81ecea82ac0a</t>
  </si>
  <si>
    <t>Ozone formation, Human health</t>
  </si>
  <si>
    <t>kg NOx eq</t>
  </si>
  <si>
    <t>6d056b44-9f90-3821-95c5-8594b5a6819c</t>
  </si>
  <si>
    <t>Ozone formation, Terrestrial ecosystems</t>
  </si>
  <si>
    <t>e2b13de9-397c-3b6f-9dcf-4e206404db3b</t>
  </si>
  <si>
    <t>Stratospheric ozone depletion</t>
  </si>
  <si>
    <t>kg CFC11 eq</t>
  </si>
  <si>
    <t>0d4ca54a-eeea-3564-93a5-03906d763cdb</t>
  </si>
  <si>
    <t>Terrestrial acidification</t>
  </si>
  <si>
    <t>kg SO2 eq</t>
  </si>
  <si>
    <t>f93a8dda-aa59-3e8c-9344-1e0f6e4db224</t>
  </si>
  <si>
    <t>Terrestrial ecotoxicity</t>
  </si>
  <si>
    <t>95d88b64-0767-321b-8f02-9e3e7c65a527</t>
  </si>
  <si>
    <t>Water consumption</t>
  </si>
  <si>
    <t>Process UUID</t>
  </si>
  <si>
    <t>39e9d72f-2937-3d72-ad56-8dcfbfff99e4</t>
  </si>
  <si>
    <t>Process</t>
  </si>
  <si>
    <t>Location</t>
  </si>
  <si>
    <t>RER</t>
  </si>
  <si>
    <t>6b403dcb-e328-395d-93fb-b63289909244</t>
  </si>
  <si>
    <t>silicone product production | silicone product | APOS, S</t>
  </si>
  <si>
    <t>22201e10-1355-384d-88e2-9425c04eed8d</t>
  </si>
  <si>
    <t>styrene-acrylonitrile copolymer production | styrene-acrylonitrile copolymer | APOS, S</t>
  </si>
  <si>
    <t>0b23244b-4cce-3b3e-b343-24af497c05a3</t>
  </si>
  <si>
    <t>styrene production | styrene | APOS, S</t>
  </si>
  <si>
    <t>a7f25283-4244-3e3a-9d7d-4e1ef1b90b28</t>
  </si>
  <si>
    <t>butadiene production | butadiene | APOS, S</t>
  </si>
  <si>
    <t>1bb35aab-70b8-3058-834f-64c3cdc06fe1</t>
  </si>
  <si>
    <t>ethylene production, average | ethylene, average | APOS, S</t>
  </si>
  <si>
    <t>polyethylene production, high density, granulate | polyethylene, high density, granulate | APOS, S</t>
  </si>
  <si>
    <t>d285525d-7ff3-3600-93a8-cbe154f75997</t>
  </si>
  <si>
    <t>polybutadiene production | polybutadiene | APOS, S</t>
  </si>
  <si>
    <t>6a6d82f0-5fda-3e2f-afcf-abe8a6768cda</t>
  </si>
  <si>
    <t>Monomer (M1)</t>
  </si>
  <si>
    <t>Monomer (M2)</t>
  </si>
  <si>
    <t>Monomer (M3)</t>
  </si>
  <si>
    <t>Polymer (P1)</t>
  </si>
  <si>
    <t>Polymer (P2)</t>
  </si>
  <si>
    <t>Polymer (P3)</t>
  </si>
  <si>
    <t>Average (P2,P3)</t>
  </si>
  <si>
    <t>Average (P1,P2,P3)</t>
  </si>
  <si>
    <t>Flex hypothesis 1</t>
  </si>
  <si>
    <t>Flex hypothesis 2</t>
  </si>
  <si>
    <t>Hypothesis for PDMS</t>
  </si>
  <si>
    <t>Copolymer</t>
  </si>
  <si>
    <t>Chip mass (kg)</t>
  </si>
  <si>
    <t>Impacts par chip</t>
  </si>
  <si>
    <t>Average emission for both PDMS and flex</t>
  </si>
  <si>
    <t>FE moyen</t>
  </si>
  <si>
    <t>Delta FE</t>
  </si>
  <si>
    <t>Ratio flex/pdms</t>
  </si>
  <si>
    <t>Hypothesis 3</t>
  </si>
  <si>
    <t>(P1+P2+2P3)/4</t>
  </si>
  <si>
    <t>Flex hyp 3</t>
  </si>
  <si>
    <t>Ratio flex/pdms / ratio masse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</si>
</sst>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6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2" borderId="1" xfId="0" applyFill="1" applyBorder="1"/>
    <xf numFmtId="0" fontId="0" fillId="2" borderId="2" xfId="0" applyFill="1" applyBorder="1"/>
    <xf numFmtId="0" fontId="0" fillId="6" borderId="2" xfId="0" applyFill="1" applyBorder="1"/>
    <xf numFmtId="11" fontId="0" fillId="7" borderId="0" xfId="0" applyNumberFormat="1" applyFill="1"/>
    <xf numFmtId="0" fontId="0" fillId="7" borderId="0" xfId="0" applyFill="1" applyAlignment="1">
      <alignment wrapText="1"/>
    </xf>
    <xf numFmtId="0" fontId="0" fillId="7" borderId="0" xfId="0" applyFill="1"/>
    <xf numFmtId="11" fontId="0" fillId="0" borderId="0" xfId="0" applyNumberFormat="1"/>
    <xf numFmtId="11" fontId="0" fillId="8" borderId="0" xfId="0" applyNumberFormat="1" applyFill="1"/>
    <xf numFmtId="11" fontId="0" fillId="9" borderId="0" xfId="0" applyNumberFormat="1" applyFill="1"/>
    <xf numFmtId="11" fontId="0" fillId="2" borderId="0" xfId="0" applyNumberFormat="1" applyFill="1"/>
    <xf numFmtId="11" fontId="0" fillId="3" borderId="0" xfId="0" applyNumberFormat="1" applyFill="1"/>
    <xf numFmtId="11" fontId="0" fillId="4" borderId="0" xfId="0" applyNumberFormat="1" applyFill="1"/>
    <xf numFmtId="11" fontId="0" fillId="5" borderId="0" xfId="0" applyNumberFormat="1" applyFill="1"/>
    <xf numFmtId="11" fontId="0" fillId="6" borderId="0" xfId="0" applyNumberFormat="1" applyFill="1"/>
    <xf numFmtId="11" fontId="0" fillId="3" borderId="2" xfId="0" applyNumberFormat="1" applyFill="1" applyBorder="1"/>
    <xf numFmtId="11" fontId="0" fillId="4" borderId="2" xfId="0" applyNumberFormat="1" applyFill="1" applyBorder="1"/>
    <xf numFmtId="11" fontId="0" fillId="5" borderId="2" xfId="0" applyNumberFormat="1" applyFill="1" applyBorder="1"/>
    <xf numFmtId="11" fontId="0" fillId="6" borderId="2" xfId="0" applyNumberFormat="1" applyFill="1" applyBorder="1"/>
    <xf numFmtId="11" fontId="0" fillId="6" borderId="3" xfId="0" applyNumberFormat="1" applyFill="1" applyBorder="1"/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Impact Flex/PDMS</a:t>
            </a:r>
            <a:r>
              <a:rPr lang="fr-FR" baseline="0"/>
              <a:t> single use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'Direct impact contributions'!$C$29:$C$46</c:f>
              <c:strCache>
                <c:ptCount val="18"/>
                <c:pt idx="0">
                  <c:v>Fine particulate matter formation</c:v>
                </c:pt>
                <c:pt idx="1">
                  <c:v>Fossil resource scarcity</c:v>
                </c:pt>
                <c:pt idx="2">
                  <c:v>Freshwater ecotoxicity</c:v>
                </c:pt>
                <c:pt idx="3">
                  <c:v>Freshwater eutrophication</c:v>
                </c:pt>
                <c:pt idx="4">
                  <c:v>Global warming</c:v>
                </c:pt>
                <c:pt idx="5">
                  <c:v>Human carcinogenic toxicity</c:v>
                </c:pt>
                <c:pt idx="6">
                  <c:v>Human non-carcinogenic toxicity</c:v>
                </c:pt>
                <c:pt idx="7">
                  <c:v>Ionizing radiation</c:v>
                </c:pt>
                <c:pt idx="8">
                  <c:v>Land use</c:v>
                </c:pt>
                <c:pt idx="9">
                  <c:v>Marine ecotoxicity</c:v>
                </c:pt>
                <c:pt idx="10">
                  <c:v>Marine eutrophication</c:v>
                </c:pt>
                <c:pt idx="11">
                  <c:v>Mineral resource scarcity</c:v>
                </c:pt>
                <c:pt idx="12">
                  <c:v>Ozone formation, Human health</c:v>
                </c:pt>
                <c:pt idx="13">
                  <c:v>Ozone formation, Terrestrial ecosystems</c:v>
                </c:pt>
                <c:pt idx="14">
                  <c:v>Stratospheric ozone depletion</c:v>
                </c:pt>
                <c:pt idx="15">
                  <c:v>Terrestrial acidification</c:v>
                </c:pt>
                <c:pt idx="16">
                  <c:v>Terrestrial ecotoxicity</c:v>
                </c:pt>
                <c:pt idx="17">
                  <c:v>Water consumption</c:v>
                </c:pt>
              </c:strCache>
            </c:strRef>
          </c:cat>
          <c:val>
            <c:numRef>
              <c:f>'Direct impact contributions'!$I$29:$I$46</c:f>
              <c:numCache>
                <c:formatCode>0.00E+00</c:formatCode>
                <c:ptCount val="18"/>
                <c:pt idx="0">
                  <c:v>0.38199707930886723</c:v>
                </c:pt>
                <c:pt idx="1">
                  <c:v>0.92262829447887973</c:v>
                </c:pt>
                <c:pt idx="2">
                  <c:v>8.6182245078124248E-2</c:v>
                </c:pt>
                <c:pt idx="3">
                  <c:v>2.163054836671886E-2</c:v>
                </c:pt>
                <c:pt idx="4">
                  <c:v>0.6004836107177538</c:v>
                </c:pt>
                <c:pt idx="5">
                  <c:v>0.33860585647987296</c:v>
                </c:pt>
                <c:pt idx="6">
                  <c:v>6.7510266278158274E-2</c:v>
                </c:pt>
                <c:pt idx="7">
                  <c:v>9.4557243448565795E-4</c:v>
                </c:pt>
                <c:pt idx="8">
                  <c:v>8.5845317240489903E-3</c:v>
                </c:pt>
                <c:pt idx="9">
                  <c:v>8.3011264312884012E-2</c:v>
                </c:pt>
                <c:pt idx="10">
                  <c:v>2.4223065305196301E-2</c:v>
                </c:pt>
                <c:pt idx="11">
                  <c:v>3.8555003215075608E-2</c:v>
                </c:pt>
                <c:pt idx="12">
                  <c:v>0.49671419924727511</c:v>
                </c:pt>
                <c:pt idx="13">
                  <c:v>0.52439859994776528</c:v>
                </c:pt>
                <c:pt idx="14">
                  <c:v>2.734993603976403E-3</c:v>
                </c:pt>
                <c:pt idx="15">
                  <c:v>0.51548352120144092</c:v>
                </c:pt>
                <c:pt idx="16">
                  <c:v>3.9902837812404279E-2</c:v>
                </c:pt>
                <c:pt idx="17">
                  <c:v>0.14200122685371497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6-084D-AF93-E00782BC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492240"/>
        <c:axId val="1915996720"/>
      </c:barChart>
      <c:catAx>
        <c:axId val="181049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5996720"/>
        <c:crosses val="autoZero"/>
        <c:auto val="1"/>
        <c:lblAlgn val="ctr"/>
        <c:lblOffset val="100"/>
        <c:noMultiLvlLbl val="0"/>
      </c:catAx>
      <c:valAx>
        <c:axId val="191599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049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933450</xdr:colOff>
      <xdr:row>24</xdr:row>
      <xdr:rowOff>190500</xdr:rowOff>
    </xdr:from>
    <xdr:to>
      <xdr:col>16</xdr:col>
      <xdr:colOff>215900</xdr:colOff>
      <xdr:row>48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6499433-D9C7-67DA-28EC-60F1D2723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6"/>
  <sheetViews>
    <sheetView tabSelected="1" zoomScale="55" zoomScaleNormal="55" workbookViewId="0">
      <selection activeCell="I30" sqref="I30"/>
    </sheetView>
  </sheetViews>
  <sheetFormatPr baseColWidth="10" defaultColWidth="8.85546875" defaultRowHeight="15" x14ac:dyDescent="0.25"/>
  <cols>
    <col min="2" max="2" width="19" customWidth="1"/>
    <col min="3" max="3" width="29.42578125" customWidth="1"/>
    <col min="5" max="5" width="13.28515625" customWidth="1"/>
    <col min="6" max="6" width="20" customWidth="1"/>
    <col min="7" max="7" width="18.7109375" customWidth="1"/>
    <col min="8" max="8" width="18" customWidth="1"/>
    <col min="9" max="9" width="22.42578125" customWidth="1"/>
    <col min="10" max="10" width="21.140625" customWidth="1"/>
    <col min="11" max="11" width="19.28515625" customWidth="1"/>
    <col min="12" max="12" width="22" customWidth="1"/>
    <col min="13" max="13" width="20.7109375" customWidth="1"/>
    <col min="14" max="14" width="10.42578125" customWidth="1"/>
    <col min="15" max="15" width="11.140625" customWidth="1"/>
    <col min="16" max="16" width="18.42578125" customWidth="1"/>
  </cols>
  <sheetData>
    <row r="1" spans="1:18" ht="45" x14ac:dyDescent="0.25">
      <c r="A1" s="1" t="s">
        <v>1</v>
      </c>
      <c r="B1" t="s">
        <v>2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87</v>
      </c>
      <c r="M1" t="s">
        <v>86</v>
      </c>
      <c r="N1" s="2" t="s">
        <v>84</v>
      </c>
      <c r="O1" s="2" t="s">
        <v>85</v>
      </c>
      <c r="P1" t="s">
        <v>94</v>
      </c>
      <c r="Q1" t="s">
        <v>90</v>
      </c>
    </row>
    <row r="2" spans="1:18" ht="38.1" customHeight="1" x14ac:dyDescent="0.25">
      <c r="A2" s="1" t="s">
        <v>3</v>
      </c>
      <c r="B2" t="s">
        <v>4</v>
      </c>
      <c r="E2" s="1" t="s">
        <v>57</v>
      </c>
      <c r="F2" s="3" t="s">
        <v>70</v>
      </c>
      <c r="G2" s="3" t="s">
        <v>68</v>
      </c>
      <c r="H2" s="3" t="s">
        <v>66</v>
      </c>
      <c r="I2" s="5" t="s">
        <v>75</v>
      </c>
      <c r="J2" s="5" t="s">
        <v>73</v>
      </c>
      <c r="K2" s="6" t="s">
        <v>58</v>
      </c>
      <c r="L2" s="7" t="s">
        <v>64</v>
      </c>
      <c r="M2" s="9" t="s">
        <v>62</v>
      </c>
      <c r="N2" s="10"/>
      <c r="O2" s="10"/>
    </row>
    <row r="3" spans="1:18" ht="57.95" customHeight="1" x14ac:dyDescent="0.25">
      <c r="E3" s="1" t="s">
        <v>59</v>
      </c>
      <c r="F3" s="3" t="s">
        <v>71</v>
      </c>
      <c r="G3" s="3" t="s">
        <v>69</v>
      </c>
      <c r="H3" s="3" t="s">
        <v>67</v>
      </c>
      <c r="I3" s="5" t="s">
        <v>72</v>
      </c>
      <c r="J3" s="5" t="s">
        <v>74</v>
      </c>
      <c r="K3" s="6" t="s">
        <v>0</v>
      </c>
      <c r="L3" s="7" t="s">
        <v>65</v>
      </c>
      <c r="M3" s="9" t="s">
        <v>63</v>
      </c>
      <c r="N3" s="9" t="s">
        <v>82</v>
      </c>
      <c r="O3" s="9" t="s">
        <v>83</v>
      </c>
      <c r="P3" s="9" t="s">
        <v>95</v>
      </c>
      <c r="Q3" s="9" t="s">
        <v>91</v>
      </c>
      <c r="R3" s="9" t="s">
        <v>92</v>
      </c>
    </row>
    <row r="4" spans="1:18" x14ac:dyDescent="0.25">
      <c r="E4" s="1" t="s">
        <v>60</v>
      </c>
      <c r="F4" s="4" t="s">
        <v>61</v>
      </c>
      <c r="G4" s="4" t="s">
        <v>61</v>
      </c>
      <c r="H4" s="3" t="s">
        <v>61</v>
      </c>
      <c r="I4" s="5" t="s">
        <v>61</v>
      </c>
      <c r="J4" s="5" t="s">
        <v>61</v>
      </c>
      <c r="K4" s="6" t="s">
        <v>61</v>
      </c>
      <c r="L4" s="7" t="s">
        <v>61</v>
      </c>
      <c r="M4" s="9" t="s">
        <v>61</v>
      </c>
      <c r="N4" s="10"/>
      <c r="O4" s="10"/>
    </row>
    <row r="5" spans="1:18" x14ac:dyDescent="0.25">
      <c r="B5" s="1" t="s">
        <v>6</v>
      </c>
      <c r="C5" s="1" t="s">
        <v>7</v>
      </c>
      <c r="D5" s="1" t="s">
        <v>8</v>
      </c>
      <c r="F5" s="4"/>
      <c r="G5" s="4"/>
      <c r="H5" s="4"/>
      <c r="I5" s="5"/>
      <c r="J5" s="5"/>
      <c r="K5" s="5"/>
      <c r="L5" s="8"/>
      <c r="M5" s="10"/>
      <c r="N5" s="10"/>
      <c r="O5" s="10"/>
    </row>
    <row r="6" spans="1:18" x14ac:dyDescent="0.25">
      <c r="B6" t="s">
        <v>9</v>
      </c>
      <c r="C6" t="s">
        <v>10</v>
      </c>
      <c r="D6" t="s">
        <v>11</v>
      </c>
      <c r="F6" s="21">
        <v>1.0093533677364742E-3</v>
      </c>
      <c r="G6" s="21">
        <v>9.9212564912087419E-4</v>
      </c>
      <c r="H6" s="21">
        <v>4.1700933459048522E-3</v>
      </c>
      <c r="I6" s="22">
        <v>1.7094946974513165E-3</v>
      </c>
      <c r="J6" s="22">
        <v>5.0882558863203078E-3</v>
      </c>
      <c r="K6" s="22">
        <v>2.9517969772979136E-3</v>
      </c>
      <c r="L6" s="23">
        <v>2.6784944178122622E-3</v>
      </c>
      <c r="M6" s="24">
        <v>4.4574070593686472E-3</v>
      </c>
      <c r="N6" s="24">
        <f t="shared" ref="N6:N23" si="0">AVERAGE(J6:K6)</f>
        <v>4.0200264318091105E-3</v>
      </c>
      <c r="O6" s="24">
        <f>AVERAGE(I6:K6)</f>
        <v>3.2498491870231795E-3</v>
      </c>
      <c r="P6" s="17">
        <f>(I6+J6+2*K6)/4</f>
        <v>3.1753361345918628E-3</v>
      </c>
      <c r="Q6" s="17">
        <f>(MAX(M6:O6)+MIN(M6:O6))/2</f>
        <v>3.8536281231959131E-3</v>
      </c>
      <c r="R6" s="17">
        <f>(MAX(M6:O6)-MIN(M6:O6))/2</f>
        <v>6.0377893617273386E-4</v>
      </c>
    </row>
    <row r="7" spans="1:18" x14ac:dyDescent="0.25">
      <c r="B7" t="s">
        <v>12</v>
      </c>
      <c r="C7" t="s">
        <v>13</v>
      </c>
      <c r="D7" t="s">
        <v>14</v>
      </c>
      <c r="F7" s="21">
        <v>1.4262911640274001</v>
      </c>
      <c r="G7" s="21">
        <v>1.4216260805700001</v>
      </c>
      <c r="H7" s="21">
        <v>1.7751250912259999</v>
      </c>
      <c r="I7" s="22">
        <v>1.5656920815281998</v>
      </c>
      <c r="J7" s="22">
        <v>2.0796616624316</v>
      </c>
      <c r="K7" s="22">
        <v>1.8433213383588001</v>
      </c>
      <c r="L7" s="23">
        <v>2.0118580348367998</v>
      </c>
      <c r="M7" s="24">
        <v>1.0653397142959999</v>
      </c>
      <c r="N7" s="24">
        <f t="shared" si="0"/>
        <v>1.9614915003952</v>
      </c>
      <c r="O7" s="24">
        <f t="shared" ref="O7:O23" si="1">AVERAGE(I7:K7)</f>
        <v>1.8295583607728665</v>
      </c>
      <c r="P7" s="17">
        <f t="shared" ref="P7:P23" si="2">(I7+J7+2*K7)/4</f>
        <v>1.8329991051693499</v>
      </c>
      <c r="Q7" s="17">
        <f t="shared" ref="Q7:Q23" si="3">(MAX(M7:O7)+MIN(M7:O7))/2</f>
        <v>1.5134156073456</v>
      </c>
      <c r="R7" s="17">
        <f t="shared" ref="R7:R23" si="4">(MAX(M7:O7)-MIN(M7:O7))/2</f>
        <v>0.44807589304960005</v>
      </c>
    </row>
    <row r="8" spans="1:18" x14ac:dyDescent="0.25">
      <c r="B8" t="s">
        <v>15</v>
      </c>
      <c r="C8" t="s">
        <v>16</v>
      </c>
      <c r="D8" t="s">
        <v>17</v>
      </c>
      <c r="F8" s="21">
        <v>2.0405463319710737E-3</v>
      </c>
      <c r="G8" s="21">
        <v>1.4429656017421702E-3</v>
      </c>
      <c r="H8" s="21">
        <v>5.0476843311889757E-2</v>
      </c>
      <c r="I8" s="22">
        <v>4.6171948577656136E-3</v>
      </c>
      <c r="J8" s="22">
        <v>1.0149435042662861E-2</v>
      </c>
      <c r="K8" s="22">
        <v>1.5035428198774813E-2</v>
      </c>
      <c r="L8" s="23">
        <v>1.9389920147695E-2</v>
      </c>
      <c r="M8" s="24">
        <v>6.9745484502617111E-2</v>
      </c>
      <c r="N8" s="24">
        <f t="shared" si="0"/>
        <v>1.2592431620718837E-2</v>
      </c>
      <c r="O8" s="24">
        <f t="shared" si="1"/>
        <v>9.9340193664010958E-3</v>
      </c>
      <c r="P8" s="17">
        <f t="shared" si="2"/>
        <v>1.1209371574494524E-2</v>
      </c>
      <c r="Q8" s="17">
        <f t="shared" si="3"/>
        <v>3.9839751934509102E-2</v>
      </c>
      <c r="R8" s="17">
        <f t="shared" si="4"/>
        <v>2.9905732568108009E-2</v>
      </c>
    </row>
    <row r="9" spans="1:18" ht="15.75" thickBot="1" x14ac:dyDescent="0.3">
      <c r="B9" t="s">
        <v>18</v>
      </c>
      <c r="C9" t="s">
        <v>19</v>
      </c>
      <c r="D9" t="s">
        <v>20</v>
      </c>
      <c r="F9" s="21">
        <v>1.0760498201983777E-5</v>
      </c>
      <c r="G9" s="21">
        <v>7.0566577344990607E-6</v>
      </c>
      <c r="H9" s="21">
        <v>1.0016456721108362E-3</v>
      </c>
      <c r="I9" s="22">
        <v>2.7842642971109662E-5</v>
      </c>
      <c r="J9" s="22">
        <v>5.0761680893587366E-5</v>
      </c>
      <c r="K9" s="22">
        <v>4.2895148630942543E-5</v>
      </c>
      <c r="L9" s="23">
        <v>2.5102576052083331E-4</v>
      </c>
      <c r="M9" s="24">
        <v>1.0188557858216182E-3</v>
      </c>
      <c r="N9" s="24">
        <f t="shared" si="0"/>
        <v>4.6828414762264958E-5</v>
      </c>
      <c r="O9" s="24">
        <f t="shared" si="1"/>
        <v>4.0499824165213194E-5</v>
      </c>
      <c r="P9" s="17">
        <f t="shared" si="2"/>
        <v>4.1098655281645533E-5</v>
      </c>
      <c r="Q9" s="17">
        <f t="shared" si="3"/>
        <v>5.2967780499341567E-4</v>
      </c>
      <c r="R9" s="17">
        <f t="shared" si="4"/>
        <v>4.8917798082820255E-4</v>
      </c>
    </row>
    <row r="10" spans="1:18" ht="15.75" thickBot="1" x14ac:dyDescent="0.3">
      <c r="B10" s="11" t="s">
        <v>21</v>
      </c>
      <c r="C10" s="12" t="s">
        <v>22</v>
      </c>
      <c r="D10" s="12" t="s">
        <v>23</v>
      </c>
      <c r="E10" s="12"/>
      <c r="F10" s="25">
        <v>1.5130043147310872</v>
      </c>
      <c r="G10" s="25">
        <v>1.2290118686292684</v>
      </c>
      <c r="H10" s="25">
        <v>2.9409464771730631</v>
      </c>
      <c r="I10" s="26">
        <v>2.0856535477777993</v>
      </c>
      <c r="J10" s="26">
        <v>4.0905858964838178</v>
      </c>
      <c r="K10" s="26">
        <v>3.8464296264219096</v>
      </c>
      <c r="L10" s="27">
        <v>4.4582773394078421</v>
      </c>
      <c r="M10" s="28">
        <v>3.0962763978043228</v>
      </c>
      <c r="N10" s="28">
        <f t="shared" si="0"/>
        <v>3.9685077614528637</v>
      </c>
      <c r="O10" s="29">
        <f t="shared" si="1"/>
        <v>3.3408896902278422</v>
      </c>
      <c r="P10" s="17">
        <f t="shared" si="2"/>
        <v>3.4672746742763589</v>
      </c>
      <c r="Q10" s="17">
        <f t="shared" si="3"/>
        <v>3.5323920796285933</v>
      </c>
      <c r="R10" s="17">
        <f t="shared" si="4"/>
        <v>0.43611568182427041</v>
      </c>
    </row>
    <row r="11" spans="1:18" x14ac:dyDescent="0.25">
      <c r="B11" t="s">
        <v>24</v>
      </c>
      <c r="C11" t="s">
        <v>25</v>
      </c>
      <c r="D11" t="s">
        <v>17</v>
      </c>
      <c r="F11" s="21">
        <v>1.6374123524721187E-2</v>
      </c>
      <c r="G11" s="21">
        <v>9.557227715475387E-3</v>
      </c>
      <c r="H11" s="21">
        <v>9.4107978284153265E-2</v>
      </c>
      <c r="I11" s="22">
        <v>4.354375165913936E-2</v>
      </c>
      <c r="J11" s="22">
        <v>7.5776557315512194E-2</v>
      </c>
      <c r="K11" s="22">
        <v>5.8231621169177766E-2</v>
      </c>
      <c r="L11" s="23">
        <v>0.1108177789066823</v>
      </c>
      <c r="M11" s="24">
        <v>9.3349432334736124E-2</v>
      </c>
      <c r="N11" s="24">
        <f t="shared" si="0"/>
        <v>6.700408924234498E-2</v>
      </c>
      <c r="O11" s="24">
        <f t="shared" si="1"/>
        <v>5.9183976714609766E-2</v>
      </c>
      <c r="P11" s="17">
        <f t="shared" si="2"/>
        <v>5.8945887828251775E-2</v>
      </c>
      <c r="Q11" s="17">
        <f t="shared" si="3"/>
        <v>7.6266704524672949E-2</v>
      </c>
      <c r="R11" s="17">
        <f t="shared" si="4"/>
        <v>1.7082727810063179E-2</v>
      </c>
    </row>
    <row r="12" spans="1:18" x14ac:dyDescent="0.25">
      <c r="B12" t="s">
        <v>26</v>
      </c>
      <c r="C12" t="s">
        <v>27</v>
      </c>
      <c r="D12" t="s">
        <v>17</v>
      </c>
      <c r="F12" s="21">
        <v>4.6538201829998752E-2</v>
      </c>
      <c r="G12" s="21">
        <v>3.2673132967604511E-2</v>
      </c>
      <c r="H12" s="21">
        <v>1.4582312676582589</v>
      </c>
      <c r="I12" s="22">
        <v>0.10854877384042076</v>
      </c>
      <c r="J12" s="22">
        <v>0.23241048510271081</v>
      </c>
      <c r="K12" s="22">
        <v>0.32565311099466132</v>
      </c>
      <c r="L12" s="23">
        <v>0.46935155853277183</v>
      </c>
      <c r="M12" s="24">
        <v>1.970383238209227</v>
      </c>
      <c r="N12" s="24">
        <f t="shared" si="0"/>
        <v>0.27903179804868605</v>
      </c>
      <c r="O12" s="24">
        <f t="shared" si="1"/>
        <v>0.22220412331259762</v>
      </c>
      <c r="P12" s="17">
        <f t="shared" si="2"/>
        <v>0.24806637023311356</v>
      </c>
      <c r="Q12" s="17">
        <f t="shared" si="3"/>
        <v>1.0962936807609123</v>
      </c>
      <c r="R12" s="17">
        <f t="shared" si="4"/>
        <v>0.87408955744831474</v>
      </c>
    </row>
    <row r="13" spans="1:18" x14ac:dyDescent="0.25">
      <c r="B13" t="s">
        <v>28</v>
      </c>
      <c r="C13" t="s">
        <v>29</v>
      </c>
      <c r="D13" t="s">
        <v>30</v>
      </c>
      <c r="F13" s="21">
        <v>1.526399704306317E-4</v>
      </c>
      <c r="G13" s="21">
        <v>1.2377363725395515E-4</v>
      </c>
      <c r="H13" s="21">
        <v>0.21573483597662577</v>
      </c>
      <c r="I13" s="22">
        <v>3.8384596058328469E-4</v>
      </c>
      <c r="J13" s="22">
        <v>6.3630184539153361E-4</v>
      </c>
      <c r="K13" s="22">
        <v>5.4372370386022962E-4</v>
      </c>
      <c r="L13" s="23">
        <v>1.0653058655688462E-2</v>
      </c>
      <c r="M13" s="24">
        <v>0.29880306126048622</v>
      </c>
      <c r="N13" s="24">
        <f t="shared" si="0"/>
        <v>5.9001277462588167E-4</v>
      </c>
      <c r="O13" s="24">
        <f t="shared" si="1"/>
        <v>5.2129050327834933E-4</v>
      </c>
      <c r="P13" s="17">
        <f t="shared" si="2"/>
        <v>5.2689880342381937E-4</v>
      </c>
      <c r="Q13" s="17">
        <f t="shared" si="3"/>
        <v>0.1496621758818823</v>
      </c>
      <c r="R13" s="17">
        <f t="shared" si="4"/>
        <v>0.14914088537860393</v>
      </c>
    </row>
    <row r="14" spans="1:18" x14ac:dyDescent="0.25">
      <c r="B14" t="s">
        <v>31</v>
      </c>
      <c r="C14" t="s">
        <v>32</v>
      </c>
      <c r="D14" t="s">
        <v>33</v>
      </c>
      <c r="F14" s="21">
        <v>5.0512166130562439E-5</v>
      </c>
      <c r="G14" s="21">
        <v>3.6399109451825175E-5</v>
      </c>
      <c r="H14" s="21">
        <v>9.1143029713208843E-3</v>
      </c>
      <c r="I14" s="22">
        <v>1.2798333869122234E-4</v>
      </c>
      <c r="J14" s="22">
        <v>2.2721069603547856E-4</v>
      </c>
      <c r="K14" s="22">
        <v>2.1534699561132471E-4</v>
      </c>
      <c r="L14" s="23">
        <v>1.8945278833233195E-3</v>
      </c>
      <c r="M14" s="24">
        <v>1.2272603514086995E-2</v>
      </c>
      <c r="N14" s="24">
        <f t="shared" si="0"/>
        <v>2.2127884582340165E-4</v>
      </c>
      <c r="O14" s="24">
        <f t="shared" si="1"/>
        <v>1.9018034344600856E-4</v>
      </c>
      <c r="P14" s="17">
        <f t="shared" si="2"/>
        <v>1.9647200648733758E-4</v>
      </c>
      <c r="Q14" s="17">
        <f t="shared" si="3"/>
        <v>6.2313919287665023E-3</v>
      </c>
      <c r="R14" s="17">
        <f t="shared" si="4"/>
        <v>6.0412115853204929E-3</v>
      </c>
    </row>
    <row r="15" spans="1:18" x14ac:dyDescent="0.25">
      <c r="B15" t="s">
        <v>34</v>
      </c>
      <c r="C15" t="s">
        <v>35</v>
      </c>
      <c r="D15" t="s">
        <v>17</v>
      </c>
      <c r="F15" s="21">
        <v>2.7661949077548318E-3</v>
      </c>
      <c r="G15" s="21">
        <v>1.9475379971698897E-3</v>
      </c>
      <c r="H15" s="21">
        <v>7.1093104977030794E-2</v>
      </c>
      <c r="I15" s="22">
        <v>6.3068602559858836E-3</v>
      </c>
      <c r="J15" s="22">
        <v>1.3745652689211225E-2</v>
      </c>
      <c r="K15" s="22">
        <v>2.034405747946106E-2</v>
      </c>
      <c r="L15" s="23">
        <v>2.6788548565593217E-2</v>
      </c>
      <c r="M15" s="24">
        <v>9.8092293887742696E-2</v>
      </c>
      <c r="N15" s="24">
        <f t="shared" si="0"/>
        <v>1.7044855084336143E-2</v>
      </c>
      <c r="O15" s="24">
        <f t="shared" si="1"/>
        <v>1.3465523474886056E-2</v>
      </c>
      <c r="P15" s="17">
        <f t="shared" si="2"/>
        <v>1.5185156976029807E-2</v>
      </c>
      <c r="Q15" s="17">
        <f t="shared" si="3"/>
        <v>5.5778908681314375E-2</v>
      </c>
      <c r="R15" s="17">
        <f t="shared" si="4"/>
        <v>4.2313385206428321E-2</v>
      </c>
    </row>
    <row r="16" spans="1:18" x14ac:dyDescent="0.25">
      <c r="B16" t="s">
        <v>36</v>
      </c>
      <c r="C16" t="s">
        <v>37</v>
      </c>
      <c r="D16" t="s">
        <v>38</v>
      </c>
      <c r="F16" s="21">
        <v>1.6700639753479554E-6</v>
      </c>
      <c r="G16" s="21">
        <v>1.6057075162925477E-6</v>
      </c>
      <c r="H16" s="21">
        <v>6.8768325726657807E-5</v>
      </c>
      <c r="I16" s="22">
        <v>2.5036241337944862E-6</v>
      </c>
      <c r="J16" s="22">
        <v>4.7122615742311319E-6</v>
      </c>
      <c r="K16" s="22">
        <v>1.1384129578967153E-5</v>
      </c>
      <c r="L16" s="23">
        <v>1.3744382841295844E-4</v>
      </c>
      <c r="M16" s="24">
        <v>1.6594157563010512E-4</v>
      </c>
      <c r="N16" s="24">
        <f t="shared" si="0"/>
        <v>8.0481955765991423E-6</v>
      </c>
      <c r="O16" s="24">
        <f t="shared" si="1"/>
        <v>6.2000050956642579E-6</v>
      </c>
      <c r="P16" s="17">
        <f t="shared" si="2"/>
        <v>7.4960362164899806E-6</v>
      </c>
      <c r="Q16" s="17">
        <f t="shared" si="3"/>
        <v>8.6070790362884685E-5</v>
      </c>
      <c r="R16" s="17">
        <f t="shared" si="4"/>
        <v>7.9870785267220436E-5</v>
      </c>
    </row>
    <row r="17" spans="2:18" x14ac:dyDescent="0.25">
      <c r="B17" t="s">
        <v>39</v>
      </c>
      <c r="C17" t="s">
        <v>40</v>
      </c>
      <c r="D17" t="s">
        <v>41</v>
      </c>
      <c r="F17" s="21">
        <v>8.979443612694535E-5</v>
      </c>
      <c r="G17" s="21">
        <v>6.7514781925202014E-5</v>
      </c>
      <c r="H17" s="21">
        <v>3.4237369068744463E-3</v>
      </c>
      <c r="I17" s="22">
        <v>2.472864456709757E-4</v>
      </c>
      <c r="J17" s="22">
        <v>2.2167709384934866E-4</v>
      </c>
      <c r="K17" s="22">
        <v>5.3441401585872523E-4</v>
      </c>
      <c r="L17" s="23">
        <v>7.1984515784453561E-4</v>
      </c>
      <c r="M17" s="24">
        <v>5.3469900322227369E-3</v>
      </c>
      <c r="N17" s="24">
        <f t="shared" si="0"/>
        <v>3.7804555485403693E-4</v>
      </c>
      <c r="O17" s="24">
        <f t="shared" si="1"/>
        <v>3.3445918512634986E-4</v>
      </c>
      <c r="P17" s="17">
        <f t="shared" si="2"/>
        <v>3.8444789280944367E-4</v>
      </c>
      <c r="Q17" s="17">
        <f t="shared" si="3"/>
        <v>2.8407246086745433E-3</v>
      </c>
      <c r="R17" s="17">
        <f t="shared" si="4"/>
        <v>2.5062654235481936E-3</v>
      </c>
    </row>
    <row r="18" spans="2:18" x14ac:dyDescent="0.25">
      <c r="B18" t="s">
        <v>42</v>
      </c>
      <c r="C18" t="s">
        <v>43</v>
      </c>
      <c r="D18" t="s">
        <v>44</v>
      </c>
      <c r="F18" s="21">
        <v>2.6693602711840288E-3</v>
      </c>
      <c r="G18" s="21">
        <v>2.4525104876583488E-3</v>
      </c>
      <c r="H18" s="21">
        <v>1.10077739572542E-2</v>
      </c>
      <c r="I18" s="22">
        <v>4.0376056091229618E-3</v>
      </c>
      <c r="J18" s="22">
        <v>9.3977019545537933E-3</v>
      </c>
      <c r="K18" s="22">
        <v>5.9126059815533573E-3</v>
      </c>
      <c r="L18" s="23">
        <v>5.4275677111780621E-3</v>
      </c>
      <c r="M18" s="24">
        <v>6.8175502123037877E-3</v>
      </c>
      <c r="N18" s="24">
        <f t="shared" si="0"/>
        <v>7.6551539680535753E-3</v>
      </c>
      <c r="O18" s="24">
        <f t="shared" si="1"/>
        <v>6.4493045150767038E-3</v>
      </c>
      <c r="P18" s="17">
        <f t="shared" si="2"/>
        <v>6.3151298816958674E-3</v>
      </c>
      <c r="Q18" s="17">
        <f t="shared" si="3"/>
        <v>7.0522292415651396E-3</v>
      </c>
      <c r="R18" s="17">
        <f t="shared" si="4"/>
        <v>6.0292472648843572E-4</v>
      </c>
    </row>
    <row r="19" spans="2:18" x14ac:dyDescent="0.25">
      <c r="B19" t="s">
        <v>45</v>
      </c>
      <c r="C19" t="s">
        <v>46</v>
      </c>
      <c r="D19" t="s">
        <v>44</v>
      </c>
      <c r="F19" s="21">
        <v>2.9087855730742236E-3</v>
      </c>
      <c r="G19" s="21">
        <v>2.7005225835487969E-3</v>
      </c>
      <c r="H19" s="21">
        <v>1.4806978419852644E-2</v>
      </c>
      <c r="I19" s="22">
        <v>4.5203407278794428E-3</v>
      </c>
      <c r="J19" s="22">
        <v>1.0437524465620933E-2</v>
      </c>
      <c r="K19" s="22">
        <v>6.2550015369161908E-3</v>
      </c>
      <c r="L19" s="23">
        <v>5.8522125963957573E-3</v>
      </c>
      <c r="M19" s="24">
        <v>7.0219231866347261E-3</v>
      </c>
      <c r="N19" s="24">
        <f t="shared" si="0"/>
        <v>8.3462630012685612E-3</v>
      </c>
      <c r="O19" s="24">
        <f t="shared" si="1"/>
        <v>7.0709555768055229E-3</v>
      </c>
      <c r="P19" s="17">
        <f t="shared" si="2"/>
        <v>6.8669670668331899E-3</v>
      </c>
      <c r="Q19" s="17">
        <f t="shared" si="3"/>
        <v>7.6840930939516437E-3</v>
      </c>
      <c r="R19" s="17">
        <f t="shared" si="4"/>
        <v>6.6216990731691756E-4</v>
      </c>
    </row>
    <row r="20" spans="2:18" x14ac:dyDescent="0.25">
      <c r="B20" t="s">
        <v>47</v>
      </c>
      <c r="C20" t="s">
        <v>48</v>
      </c>
      <c r="D20" t="s">
        <v>49</v>
      </c>
      <c r="F20" s="21">
        <v>2.5562171514740491E-9</v>
      </c>
      <c r="G20" s="21">
        <v>2.4465788408330108E-9</v>
      </c>
      <c r="H20" s="21">
        <v>4.7579645031193656E-7</v>
      </c>
      <c r="I20" s="22">
        <v>6.020095117937247E-9</v>
      </c>
      <c r="J20" s="22">
        <v>1.1335964746202488E-8</v>
      </c>
      <c r="K20" s="22">
        <v>2.0186191634173026E-8</v>
      </c>
      <c r="L20" s="23">
        <v>2.2366509433363173E-7</v>
      </c>
      <c r="M20" s="24">
        <v>2.829607332505244E-6</v>
      </c>
      <c r="N20" s="24">
        <f t="shared" si="0"/>
        <v>1.5761078190187758E-8</v>
      </c>
      <c r="O20" s="24">
        <f t="shared" si="1"/>
        <v>1.2514083832770918E-8</v>
      </c>
      <c r="P20" s="17">
        <f t="shared" si="2"/>
        <v>1.4432110783121446E-8</v>
      </c>
      <c r="Q20" s="17">
        <f t="shared" si="3"/>
        <v>1.4210607081690074E-6</v>
      </c>
      <c r="R20" s="17">
        <f t="shared" si="4"/>
        <v>1.4085466243362366E-6</v>
      </c>
    </row>
    <row r="21" spans="2:18" x14ac:dyDescent="0.25">
      <c r="B21" t="s">
        <v>50</v>
      </c>
      <c r="C21" t="s">
        <v>51</v>
      </c>
      <c r="D21" t="s">
        <v>52</v>
      </c>
      <c r="F21" s="21">
        <v>3.0736500040383649E-3</v>
      </c>
      <c r="G21" s="21">
        <v>3.0302530612243898E-3</v>
      </c>
      <c r="H21" s="21">
        <v>8.4789055537058591E-3</v>
      </c>
      <c r="I21" s="22">
        <v>5.2686615587146518E-3</v>
      </c>
      <c r="J21" s="22">
        <v>1.6228676823061401E-2</v>
      </c>
      <c r="K21" s="22">
        <v>9.2801220300573299E-3</v>
      </c>
      <c r="L21" s="23">
        <v>7.8284030212256994E-3</v>
      </c>
      <c r="M21" s="24">
        <v>1.0417477969789713E-2</v>
      </c>
      <c r="N21" s="24">
        <f t="shared" si="0"/>
        <v>1.2754399426559366E-2</v>
      </c>
      <c r="O21" s="24">
        <f t="shared" si="1"/>
        <v>1.0259153470611128E-2</v>
      </c>
      <c r="P21" s="17">
        <f t="shared" si="2"/>
        <v>1.0014395610472678E-2</v>
      </c>
      <c r="Q21" s="17">
        <f t="shared" si="3"/>
        <v>1.1506776448585247E-2</v>
      </c>
      <c r="R21" s="17">
        <f t="shared" si="4"/>
        <v>1.2476229779741187E-3</v>
      </c>
    </row>
    <row r="22" spans="2:18" x14ac:dyDescent="0.25">
      <c r="B22" t="s">
        <v>53</v>
      </c>
      <c r="C22" t="s">
        <v>54</v>
      </c>
      <c r="D22" t="s">
        <v>17</v>
      </c>
      <c r="F22" s="21">
        <v>8.5820355368441351E-3</v>
      </c>
      <c r="G22" s="21">
        <v>6.3590965244112755E-3</v>
      </c>
      <c r="H22" s="21">
        <v>3.3521109962600022</v>
      </c>
      <c r="I22" s="22">
        <v>1.9943975074713197E-2</v>
      </c>
      <c r="J22" s="22">
        <v>3.1975544621514314E-2</v>
      </c>
      <c r="K22" s="22">
        <v>0.68907283815016507</v>
      </c>
      <c r="L22" s="23">
        <v>1.0592725612021567</v>
      </c>
      <c r="M22" s="24">
        <v>4.8044612640092872</v>
      </c>
      <c r="N22" s="24">
        <f t="shared" si="0"/>
        <v>0.36052419138583969</v>
      </c>
      <c r="O22" s="24">
        <f t="shared" si="1"/>
        <v>0.24699745261546421</v>
      </c>
      <c r="P22" s="17">
        <f t="shared" si="2"/>
        <v>0.35751629899913939</v>
      </c>
      <c r="Q22" s="17">
        <f t="shared" si="3"/>
        <v>2.5257293583123759</v>
      </c>
      <c r="R22" s="17">
        <f t="shared" si="4"/>
        <v>2.2787319056969113</v>
      </c>
    </row>
    <row r="23" spans="2:18" x14ac:dyDescent="0.25">
      <c r="B23" t="s">
        <v>55</v>
      </c>
      <c r="C23" t="s">
        <v>56</v>
      </c>
      <c r="D23" t="s">
        <v>5</v>
      </c>
      <c r="F23" s="21">
        <v>1.1577176095784725E-2</v>
      </c>
      <c r="G23" s="21">
        <v>6.6579522464323641E-3</v>
      </c>
      <c r="H23" s="21">
        <v>3.4874838967739678E-2</v>
      </c>
      <c r="I23" s="22">
        <v>1.3567578161985306E-2</v>
      </c>
      <c r="J23" s="22">
        <v>9.0723263380682907E-3</v>
      </c>
      <c r="K23" s="22">
        <v>5.2369854181868E-2</v>
      </c>
      <c r="L23" s="23">
        <v>5.2962817917323157E-2</v>
      </c>
      <c r="M23" s="24">
        <v>0.12025425996299745</v>
      </c>
      <c r="N23" s="24">
        <f t="shared" si="0"/>
        <v>3.0721090259968144E-2</v>
      </c>
      <c r="O23" s="24">
        <f t="shared" si="1"/>
        <v>2.5003252893973867E-2</v>
      </c>
      <c r="P23" s="17">
        <f t="shared" si="2"/>
        <v>3.18449032159474E-2</v>
      </c>
      <c r="Q23" s="17">
        <f t="shared" si="3"/>
        <v>7.2628756428485652E-2</v>
      </c>
      <c r="R23" s="17">
        <f t="shared" si="4"/>
        <v>4.7625503534511789E-2</v>
      </c>
    </row>
    <row r="25" spans="2:18" ht="21" x14ac:dyDescent="0.35">
      <c r="E25" s="30" t="s">
        <v>89</v>
      </c>
      <c r="F25" s="30"/>
      <c r="G25" s="30"/>
    </row>
    <row r="26" spans="2:18" x14ac:dyDescent="0.25">
      <c r="C26" t="s">
        <v>88</v>
      </c>
      <c r="E26" s="14">
        <v>6.8999999999999999E-3</v>
      </c>
      <c r="F26" s="14">
        <v>3.7000000000000002E-3</v>
      </c>
      <c r="G26" s="14">
        <v>3.7000000000000002E-3</v>
      </c>
      <c r="H26" s="14">
        <v>3.7000000000000002E-3</v>
      </c>
    </row>
    <row r="27" spans="2:18" ht="30" x14ac:dyDescent="0.25">
      <c r="E27" s="15" t="str">
        <f>M1</f>
        <v>Hypothesis for PDMS</v>
      </c>
      <c r="F27" s="15" t="str">
        <f>N1</f>
        <v>Flex hypothesis 1</v>
      </c>
      <c r="G27" s="15" t="str">
        <f>O1</f>
        <v>Flex hypothesis 2</v>
      </c>
      <c r="H27" t="s">
        <v>96</v>
      </c>
      <c r="I27" t="s">
        <v>93</v>
      </c>
      <c r="J27" t="s">
        <v>97</v>
      </c>
    </row>
    <row r="28" spans="2:18" x14ac:dyDescent="0.25">
      <c r="C28" s="1" t="s">
        <v>7</v>
      </c>
      <c r="D28" s="1" t="s">
        <v>8</v>
      </c>
      <c r="E28" s="16"/>
      <c r="F28" s="16"/>
      <c r="G28" s="16"/>
    </row>
    <row r="29" spans="2:18" x14ac:dyDescent="0.25">
      <c r="C29" t="s">
        <v>10</v>
      </c>
      <c r="D29" t="s">
        <v>11</v>
      </c>
      <c r="E29" s="14">
        <f>M6*E$26</f>
        <v>3.0756108709643665E-5</v>
      </c>
      <c r="F29" s="14">
        <f>N6*F$26</f>
        <v>1.4874097797693709E-5</v>
      </c>
      <c r="G29" s="14">
        <f>O6*G$26</f>
        <v>1.2024441991985765E-5</v>
      </c>
      <c r="H29" s="14">
        <f>P6*H$26</f>
        <v>1.1748743697989893E-5</v>
      </c>
      <c r="I29" s="17">
        <f>H29/E29</f>
        <v>0.38199707930886723</v>
      </c>
      <c r="J29" s="17">
        <f>I29/($F$26/$E$26)</f>
        <v>0.71237293168410365</v>
      </c>
    </row>
    <row r="30" spans="2:18" x14ac:dyDescent="0.25">
      <c r="C30" t="s">
        <v>13</v>
      </c>
      <c r="D30" t="s">
        <v>14</v>
      </c>
      <c r="E30" s="14">
        <f t="shared" ref="E30:G46" si="5">M7*E$26</f>
        <v>7.3508440286423997E-3</v>
      </c>
      <c r="F30" s="14">
        <f t="shared" si="5"/>
        <v>7.2575185514622406E-3</v>
      </c>
      <c r="G30" s="14">
        <f t="shared" si="5"/>
        <v>6.7693659348596067E-3</v>
      </c>
      <c r="H30" s="14">
        <f t="shared" ref="H30:H46" si="6">P7*H$26</f>
        <v>6.7820966891265948E-3</v>
      </c>
      <c r="I30" s="20">
        <f t="shared" ref="I30:I46" si="7">H30/E30</f>
        <v>0.92262829447887973</v>
      </c>
      <c r="J30" s="18">
        <f>I30/($F$26/$E$26)</f>
        <v>1.7205770897038566</v>
      </c>
    </row>
    <row r="31" spans="2:18" x14ac:dyDescent="0.25">
      <c r="C31" t="s">
        <v>16</v>
      </c>
      <c r="D31" t="s">
        <v>17</v>
      </c>
      <c r="E31" s="14">
        <f t="shared" si="5"/>
        <v>4.8124384306805803E-4</v>
      </c>
      <c r="F31" s="14">
        <f t="shared" si="5"/>
        <v>4.6591996996659697E-5</v>
      </c>
      <c r="G31" s="14">
        <f t="shared" si="5"/>
        <v>3.6755871655684056E-5</v>
      </c>
      <c r="H31" s="14">
        <f t="shared" si="6"/>
        <v>4.1474674825629739E-5</v>
      </c>
      <c r="I31" s="17">
        <f t="shared" si="7"/>
        <v>8.6182245078124248E-2</v>
      </c>
      <c r="J31" s="19">
        <f t="shared" ref="J30:J46" si="8">I31/($F$26/$E$26)</f>
        <v>0.16071824082136682</v>
      </c>
    </row>
    <row r="32" spans="2:18" ht="15.75" thickBot="1" x14ac:dyDescent="0.3">
      <c r="C32" t="s">
        <v>19</v>
      </c>
      <c r="D32" t="s">
        <v>20</v>
      </c>
      <c r="E32" s="14">
        <f t="shared" si="5"/>
        <v>7.0301049221691657E-6</v>
      </c>
      <c r="F32" s="14">
        <f>N9*F$26</f>
        <v>1.7326513462038034E-7</v>
      </c>
      <c r="G32" s="14">
        <f t="shared" si="5"/>
        <v>1.4984934941128881E-7</v>
      </c>
      <c r="H32" s="14">
        <f t="shared" si="6"/>
        <v>1.5206502454208847E-7</v>
      </c>
      <c r="I32" s="17">
        <f t="shared" si="7"/>
        <v>2.163054836671886E-2</v>
      </c>
      <c r="J32" s="19">
        <f t="shared" si="8"/>
        <v>4.0338049656854086E-2</v>
      </c>
    </row>
    <row r="33" spans="3:10" ht="15.75" thickBot="1" x14ac:dyDescent="0.3">
      <c r="C33" s="13" t="s">
        <v>22</v>
      </c>
      <c r="D33" s="13" t="s">
        <v>23</v>
      </c>
      <c r="E33" s="14">
        <f t="shared" si="5"/>
        <v>2.1364307144849826E-2</v>
      </c>
      <c r="F33" s="14">
        <f t="shared" si="5"/>
        <v>1.4683478717375596E-2</v>
      </c>
      <c r="G33" s="14">
        <f>O10*G$26</f>
        <v>1.2361291853843017E-2</v>
      </c>
      <c r="H33" s="14">
        <f t="shared" si="6"/>
        <v>1.2828916294822528E-2</v>
      </c>
      <c r="I33" s="17">
        <f t="shared" si="7"/>
        <v>0.6004836107177538</v>
      </c>
      <c r="J33" s="18">
        <f t="shared" si="8"/>
        <v>1.1198207875547299</v>
      </c>
    </row>
    <row r="34" spans="3:10" x14ac:dyDescent="0.25">
      <c r="C34" t="s">
        <v>25</v>
      </c>
      <c r="D34" t="s">
        <v>17</v>
      </c>
      <c r="E34" s="14">
        <f t="shared" si="5"/>
        <v>6.4411108310967924E-4</v>
      </c>
      <c r="F34" s="14">
        <f t="shared" si="5"/>
        <v>2.4791513019667644E-4</v>
      </c>
      <c r="G34" s="14">
        <f t="shared" si="5"/>
        <v>2.1898071384405615E-4</v>
      </c>
      <c r="H34" s="14">
        <f t="shared" si="6"/>
        <v>2.1809978496453158E-4</v>
      </c>
      <c r="I34" s="17">
        <f t="shared" si="7"/>
        <v>0.33860585647987296</v>
      </c>
      <c r="J34" s="17">
        <f t="shared" si="8"/>
        <v>0.63145416478679006</v>
      </c>
    </row>
    <row r="35" spans="3:10" x14ac:dyDescent="0.25">
      <c r="C35" t="s">
        <v>27</v>
      </c>
      <c r="D35" t="s">
        <v>17</v>
      </c>
      <c r="E35" s="14">
        <f t="shared" si="5"/>
        <v>1.3595644343643666E-2</v>
      </c>
      <c r="F35" s="14">
        <f t="shared" si="5"/>
        <v>1.0324176527801384E-3</v>
      </c>
      <c r="G35" s="14">
        <f t="shared" si="5"/>
        <v>8.2215525625661118E-4</v>
      </c>
      <c r="H35" s="14">
        <f t="shared" si="6"/>
        <v>9.1784556986252027E-4</v>
      </c>
      <c r="I35" s="17">
        <f t="shared" si="7"/>
        <v>6.7510266278158274E-2</v>
      </c>
      <c r="J35" s="19">
        <f t="shared" si="8"/>
        <v>0.12589752359980866</v>
      </c>
    </row>
    <row r="36" spans="3:10" x14ac:dyDescent="0.25">
      <c r="C36" t="s">
        <v>29</v>
      </c>
      <c r="D36" t="s">
        <v>30</v>
      </c>
      <c r="E36" s="14">
        <f t="shared" si="5"/>
        <v>2.0617411226973551E-3</v>
      </c>
      <c r="F36" s="14">
        <f t="shared" si="5"/>
        <v>2.1830472661157621E-6</v>
      </c>
      <c r="G36" s="14">
        <f t="shared" si="5"/>
        <v>1.9287748621298926E-6</v>
      </c>
      <c r="H36" s="14">
        <f t="shared" si="6"/>
        <v>1.9495255726681317E-6</v>
      </c>
      <c r="I36" s="17">
        <f t="shared" si="7"/>
        <v>9.4557243448565795E-4</v>
      </c>
      <c r="J36" s="19">
        <f t="shared" si="8"/>
        <v>1.7633648102570376E-3</v>
      </c>
    </row>
    <row r="37" spans="3:10" x14ac:dyDescent="0.25">
      <c r="C37" t="s">
        <v>32</v>
      </c>
      <c r="D37" t="s">
        <v>33</v>
      </c>
      <c r="E37" s="14">
        <f t="shared" si="5"/>
        <v>8.468096424720027E-5</v>
      </c>
      <c r="F37" s="14">
        <f t="shared" si="5"/>
        <v>8.1873172954658612E-7</v>
      </c>
      <c r="G37" s="14">
        <f t="shared" si="5"/>
        <v>7.0366727075023169E-7</v>
      </c>
      <c r="H37" s="14">
        <f t="shared" si="6"/>
        <v>7.2694642400314909E-7</v>
      </c>
      <c r="I37" s="17">
        <f t="shared" si="7"/>
        <v>8.5845317240489903E-3</v>
      </c>
      <c r="J37" s="19">
        <f t="shared" si="8"/>
        <v>1.6008991593496766E-2</v>
      </c>
    </row>
    <row r="38" spans="3:10" x14ac:dyDescent="0.25">
      <c r="C38" t="s">
        <v>35</v>
      </c>
      <c r="D38" t="s">
        <v>17</v>
      </c>
      <c r="E38" s="14">
        <f t="shared" si="5"/>
        <v>6.7683682782542463E-4</v>
      </c>
      <c r="F38" s="14">
        <f t="shared" si="5"/>
        <v>6.3065963812043732E-5</v>
      </c>
      <c r="G38" s="14">
        <f t="shared" si="5"/>
        <v>4.982243685707841E-5</v>
      </c>
      <c r="H38" s="14">
        <f t="shared" si="6"/>
        <v>5.6185080811310292E-5</v>
      </c>
      <c r="I38" s="17">
        <f t="shared" si="7"/>
        <v>8.3011264312884012E-2</v>
      </c>
      <c r="J38" s="19">
        <f t="shared" si="8"/>
        <v>0.15480479020510801</v>
      </c>
    </row>
    <row r="39" spans="3:10" x14ac:dyDescent="0.25">
      <c r="C39" t="s">
        <v>37</v>
      </c>
      <c r="D39" t="s">
        <v>38</v>
      </c>
      <c r="E39" s="14">
        <f t="shared" si="5"/>
        <v>1.1449968718477252E-6</v>
      </c>
      <c r="F39" s="14">
        <f t="shared" si="5"/>
        <v>2.9778323633416827E-8</v>
      </c>
      <c r="G39" s="14">
        <f t="shared" si="5"/>
        <v>2.2940018853957754E-8</v>
      </c>
      <c r="H39" s="14">
        <f t="shared" si="6"/>
        <v>2.7735334001012929E-8</v>
      </c>
      <c r="I39" s="17">
        <f t="shared" si="7"/>
        <v>2.4223065305196301E-2</v>
      </c>
      <c r="J39" s="19">
        <f t="shared" si="8"/>
        <v>4.5172743406987695E-2</v>
      </c>
    </row>
    <row r="40" spans="3:10" x14ac:dyDescent="0.25">
      <c r="C40" t="s">
        <v>40</v>
      </c>
      <c r="D40" t="s">
        <v>41</v>
      </c>
      <c r="E40" s="14">
        <f t="shared" si="5"/>
        <v>3.6894231222336887E-5</v>
      </c>
      <c r="F40" s="14">
        <f t="shared" si="5"/>
        <v>1.3987685529599366E-6</v>
      </c>
      <c r="G40" s="14">
        <f t="shared" si="5"/>
        <v>1.2374989849674945E-6</v>
      </c>
      <c r="H40" s="14">
        <f t="shared" si="6"/>
        <v>1.4224572033949416E-6</v>
      </c>
      <c r="I40" s="17">
        <f t="shared" si="7"/>
        <v>3.8555003215075608E-2</v>
      </c>
      <c r="J40" s="19">
        <f t="shared" si="8"/>
        <v>7.1899870860546403E-2</v>
      </c>
    </row>
    <row r="41" spans="3:10" x14ac:dyDescent="0.25">
      <c r="C41" t="s">
        <v>43</v>
      </c>
      <c r="D41" t="s">
        <v>44</v>
      </c>
      <c r="E41" s="14">
        <f t="shared" si="5"/>
        <v>4.7041096464896135E-5</v>
      </c>
      <c r="F41" s="14">
        <f t="shared" si="5"/>
        <v>2.8324069681798229E-5</v>
      </c>
      <c r="G41" s="14">
        <f t="shared" si="5"/>
        <v>2.3862426705783805E-5</v>
      </c>
      <c r="H41" s="14">
        <f t="shared" si="6"/>
        <v>2.3365980562274709E-5</v>
      </c>
      <c r="I41" s="17">
        <f t="shared" si="7"/>
        <v>0.49671419924727511</v>
      </c>
      <c r="J41" s="17">
        <f t="shared" si="8"/>
        <v>0.92630485805572915</v>
      </c>
    </row>
    <row r="42" spans="3:10" x14ac:dyDescent="0.25">
      <c r="C42" t="s">
        <v>46</v>
      </c>
      <c r="D42" t="s">
        <v>44</v>
      </c>
      <c r="E42" s="14">
        <f t="shared" si="5"/>
        <v>4.8451269987779611E-5</v>
      </c>
      <c r="F42" s="14">
        <f t="shared" si="5"/>
        <v>3.0881173104693677E-5</v>
      </c>
      <c r="G42" s="14">
        <f t="shared" si="5"/>
        <v>2.6162535634180437E-5</v>
      </c>
      <c r="H42" s="14">
        <f t="shared" si="6"/>
        <v>2.5407778147282804E-5</v>
      </c>
      <c r="I42" s="17">
        <f t="shared" si="7"/>
        <v>0.52439859994776528</v>
      </c>
      <c r="J42" s="17">
        <f t="shared" si="8"/>
        <v>0.97793252422691357</v>
      </c>
    </row>
    <row r="43" spans="3:10" x14ac:dyDescent="0.25">
      <c r="C43" t="s">
        <v>48</v>
      </c>
      <c r="D43" t="s">
        <v>49</v>
      </c>
      <c r="E43" s="14">
        <f t="shared" si="5"/>
        <v>1.9524290594286184E-8</v>
      </c>
      <c r="F43" s="14">
        <f t="shared" si="5"/>
        <v>5.8315989303694712E-11</v>
      </c>
      <c r="G43" s="14">
        <f t="shared" si="5"/>
        <v>4.6302110181252398E-11</v>
      </c>
      <c r="H43" s="14">
        <f t="shared" si="6"/>
        <v>5.3398809897549354E-11</v>
      </c>
      <c r="I43" s="17">
        <f t="shared" si="7"/>
        <v>2.734993603976403E-3</v>
      </c>
      <c r="J43" s="19">
        <f t="shared" si="8"/>
        <v>5.1003934776857243E-3</v>
      </c>
    </row>
    <row r="44" spans="3:10" x14ac:dyDescent="0.25">
      <c r="C44" t="s">
        <v>51</v>
      </c>
      <c r="D44" t="s">
        <v>52</v>
      </c>
      <c r="E44" s="14">
        <f t="shared" si="5"/>
        <v>7.1880597991549015E-5</v>
      </c>
      <c r="F44" s="14">
        <f t="shared" si="5"/>
        <v>4.7191277878269652E-5</v>
      </c>
      <c r="G44" s="14">
        <f t="shared" si="5"/>
        <v>3.7958867841261173E-5</v>
      </c>
      <c r="H44" s="14">
        <f t="shared" si="6"/>
        <v>3.7053263758748911E-5</v>
      </c>
      <c r="I44" s="17">
        <f t="shared" si="7"/>
        <v>0.51548352120144092</v>
      </c>
      <c r="J44" s="17">
        <f t="shared" si="8"/>
        <v>0.96130710710538969</v>
      </c>
    </row>
    <row r="45" spans="3:10" x14ac:dyDescent="0.25">
      <c r="C45" t="s">
        <v>54</v>
      </c>
      <c r="D45" t="s">
        <v>17</v>
      </c>
      <c r="E45" s="14">
        <f t="shared" si="5"/>
        <v>3.3150782721664079E-2</v>
      </c>
      <c r="F45" s="14">
        <f t="shared" si="5"/>
        <v>1.333939508127607E-3</v>
      </c>
      <c r="G45" s="14">
        <f t="shared" si="5"/>
        <v>9.1389057467721759E-4</v>
      </c>
      <c r="H45" s="14">
        <f t="shared" si="6"/>
        <v>1.3228103062968158E-3</v>
      </c>
      <c r="I45" s="17">
        <f t="shared" si="7"/>
        <v>3.9902837812404279E-2</v>
      </c>
      <c r="J45" s="19">
        <f t="shared" si="8"/>
        <v>7.4413400244753916E-2</v>
      </c>
    </row>
    <row r="46" spans="3:10" x14ac:dyDescent="0.25">
      <c r="C46" t="s">
        <v>56</v>
      </c>
      <c r="D46" t="s">
        <v>5</v>
      </c>
      <c r="E46" s="14">
        <f t="shared" si="5"/>
        <v>8.297543937446824E-4</v>
      </c>
      <c r="F46" s="14">
        <f t="shared" si="5"/>
        <v>1.1366803396188213E-4</v>
      </c>
      <c r="G46" s="14">
        <f t="shared" si="5"/>
        <v>9.2512035707703312E-5</v>
      </c>
      <c r="H46" s="14">
        <f t="shared" si="6"/>
        <v>1.1782614189900538E-4</v>
      </c>
      <c r="I46" s="17">
        <f t="shared" si="7"/>
        <v>0.14200122685371497</v>
      </c>
      <c r="J46" s="19">
        <f t="shared" si="8"/>
        <v>0.26481309872719816</v>
      </c>
    </row>
  </sheetData>
  <mergeCells count="1">
    <mergeCell ref="E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Direct impact contributions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</cp:lastModifiedBy>
  <dcterms:created xsi:type="dcterms:W3CDTF">2024-07-08T13:06:09Z</dcterms:created>
  <dcterms:modified xsi:type="dcterms:W3CDTF">2025-07-03T20:00:51Z</dcterms:modified>
</cp:coreProperties>
</file>